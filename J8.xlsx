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th\Downloads\"/>
    </mc:Choice>
  </mc:AlternateContent>
  <xr:revisionPtr revIDLastSave="0" documentId="8_{B5BCCE77-DE73-4CF5-ACFD-BDFF3AA89DC0}" xr6:coauthVersionLast="47" xr6:coauthVersionMax="47" xr10:uidLastSave="{00000000-0000-0000-0000-000000000000}"/>
  <bookViews>
    <workbookView xWindow="-108" yWindow="-108" windowWidth="23256" windowHeight="12456" activeTab="1" xr2:uid="{AE028325-B9E4-4C3C-ABFA-DDED1BC65115}"/>
  </bookViews>
  <sheets>
    <sheet name="Données" sheetId="1" r:id="rId1"/>
    <sheet name="Dashboard" sheetId="2" r:id="rId2"/>
  </sheets>
  <definedNames>
    <definedName name="ventes_dashboard" localSheetId="0">Données!$A$1:$H$31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2" l="1"/>
  <c r="D10" i="2"/>
  <c r="D11" i="2"/>
  <c r="D12" i="2"/>
  <c r="D13" i="2"/>
  <c r="D14" i="2"/>
  <c r="D9" i="2"/>
  <c r="C13" i="2"/>
  <c r="C12" i="2"/>
  <c r="C11" i="2"/>
  <c r="C14" i="2"/>
  <c r="C10" i="2"/>
  <c r="C9" i="2"/>
  <c r="E13" i="2" l="1"/>
  <c r="C18" i="2"/>
  <c r="B18" i="2"/>
  <c r="E14" i="2"/>
  <c r="E12" i="2"/>
  <c r="E9" i="2"/>
  <c r="E11" i="2"/>
  <c r="E10" i="2"/>
  <c r="F13" i="2"/>
  <c r="F12" i="2"/>
  <c r="F9" i="2"/>
  <c r="F14" i="2"/>
  <c r="F10" i="2"/>
  <c r="F11" i="2"/>
  <c r="D1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2424D-8C82-4BBC-A33F-655D3A7D0287}" name="ventes_dashboard" type="6" refreshedVersion="7" background="1" saveData="1">
    <textPr codePage="65001" sourceFile="C:\Users\maath\Downloads\ventes_dashboard.csv" decimal="," thousands=" 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<sst xmlns="http://schemas.openxmlformats.org/spreadsheetml/2006/main" count="208" uniqueCount="46">
  <si>
    <t>mois</t>
  </si>
  <si>
    <t>trimestre</t>
  </si>
  <si>
    <t>vendeur</t>
  </si>
  <si>
    <t>region</t>
  </si>
  <si>
    <t>produit</t>
  </si>
  <si>
    <t>categorie</t>
  </si>
  <si>
    <t>montant</t>
  </si>
  <si>
    <t>objectif</t>
  </si>
  <si>
    <t>Janvier</t>
  </si>
  <si>
    <t>T1</t>
  </si>
  <si>
    <t>Alice</t>
  </si>
  <si>
    <t>Île-de-France</t>
  </si>
  <si>
    <t>Laptop Pro</t>
  </si>
  <si>
    <t>Informatique</t>
  </si>
  <si>
    <t>Karim</t>
  </si>
  <si>
    <t>PACA</t>
  </si>
  <si>
    <t>Smartphone X</t>
  </si>
  <si>
    <t>Mobile</t>
  </si>
  <si>
    <t>Lucie</t>
  </si>
  <si>
    <t>Grand Est</t>
  </si>
  <si>
    <t>Tablette Air</t>
  </si>
  <si>
    <t>Thomas</t>
  </si>
  <si>
    <t>Écouteurs BT</t>
  </si>
  <si>
    <t>Audio</t>
  </si>
  <si>
    <t>Nadia</t>
  </si>
  <si>
    <t>Auvergne</t>
  </si>
  <si>
    <t>Février</t>
  </si>
  <si>
    <t>Mars</t>
  </si>
  <si>
    <t>Avril</t>
  </si>
  <si>
    <t>T2</t>
  </si>
  <si>
    <t>Montre Smart</t>
  </si>
  <si>
    <t>Wearable</t>
  </si>
  <si>
    <t>Mai</t>
  </si>
  <si>
    <t>Juin</t>
  </si>
  <si>
    <t>Dashboard interactif ventes</t>
  </si>
  <si>
    <t>Vendeur:</t>
  </si>
  <si>
    <t>Trimestre:</t>
  </si>
  <si>
    <t>Mois</t>
  </si>
  <si>
    <t>CA rélaisé</t>
  </si>
  <si>
    <t>Objectif</t>
  </si>
  <si>
    <t>Atteinte %</t>
  </si>
  <si>
    <t>Statut</t>
  </si>
  <si>
    <t>Toal CA</t>
  </si>
  <si>
    <t>Total Objectif</t>
  </si>
  <si>
    <t>Atteinte globale</t>
  </si>
  <si>
    <t>Nb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</si>
</sst>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1" applyFont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4" fillId="4" borderId="0" xfId="0" applyFont="1" applyFill="1"/>
    <xf numFmtId="0" fontId="6" fillId="5" borderId="0" xfId="0" applyFont="1" applyFill="1"/>
    <xf numFmtId="0" fontId="5" fillId="3" borderId="0" xfId="0" applyFont="1" applyFill="1" applyProtection="1">
      <protection locked="0"/>
    </xf>
  </cellXfs>
  <cellStyles count="2">
    <cellStyle name="Normal" xfId="0" builtinId="0"/>
    <cellStyle name="Pourcentage" xfId="1" builtinId="5"/>
  </cellStyles>
  <dxfs count="2">
    <dxf>
      <font>
        <b val="0"/>
        <i val="0"/>
        <strike val="0"/>
        <u val="none"/>
        <color rgb="FFFF0000"/>
      </font>
    </dxf>
    <dxf>
      <font>
        <b val="0"/>
        <i val="0"/>
        <strike val="0"/>
        <u val="none"/>
        <color rgb="FF00B050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rgbClr val="C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CA vs Objectif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CA rélaisé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Dashboard!$B$9:$B$14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Dashboard!$C$9:$C$14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14300</c:v>
                </c:pt>
                <c:pt idx="4">
                  <c:v>31200</c:v>
                </c:pt>
                <c:pt idx="5">
                  <c:v>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0-4C5D-ACD2-A804B2B6CFFB}"/>
            </c:ext>
          </c:extLst>
        </c:ser>
        <c:ser>
          <c:idx val="1"/>
          <c:order val="1"/>
          <c:tx>
            <c:strRef>
              <c:f>Dashboard!$D$8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Dashboard!$B$9:$B$14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Dashboard!$D$9:$D$14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15000</c:v>
                </c:pt>
                <c:pt idx="4">
                  <c:v>15000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0-4C5D-ACD2-A804B2B6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427935"/>
        <c:axId val="637428351"/>
      </c:barChart>
      <c:catAx>
        <c:axId val="63742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7428351"/>
        <c:crosses val="autoZero"/>
        <c:auto val="1"/>
        <c:lblAlgn val="ctr"/>
        <c:lblOffset val="100"/>
        <c:noMultiLvlLbl val="0"/>
      </c:catAx>
      <c:valAx>
        <c:axId val="6374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742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6</xdr:row>
      <xdr:rowOff>110490</xdr:rowOff>
    </xdr:from>
    <xdr:to>
      <xdr:col>12</xdr:col>
      <xdr:colOff>670560</xdr:colOff>
      <xdr:row>20</xdr:row>
      <xdr:rowOff>87630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42B650-C856-4DF1-B8F6-BFC389D4B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tes_dashboard" connectionId="1" xr16:uid="{8399768D-B41D-432D-9877-AAD914193D3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B92F-8723-453F-B82F-6D6F03278E91}">
  <dimension ref="A1:H31"/>
  <sheetViews>
    <sheetView topLeftCell="A13" workbookViewId="0"/>
  </sheetViews>
  <sheetFormatPr baseColWidth="10" defaultRowHeight="14.4" x14ac:dyDescent="0.3"/>
  <cols>
    <col min="1" max="1" width="6.6640625" bestFit="1" customWidth="1"/>
    <col min="2" max="2" width="8.44140625" bestFit="1" customWidth="1"/>
    <col min="3" max="3" width="7.5546875" bestFit="1" customWidth="1"/>
    <col min="4" max="4" width="11.77734375" bestFit="1" customWidth="1"/>
    <col min="5" max="5" width="12.33203125" bestFit="1" customWidth="1"/>
    <col min="6" max="6" width="11.6640625" bestFit="1" customWidth="1"/>
    <col min="7" max="7" width="8" bestFit="1" customWidth="1"/>
    <col min="8" max="8" width="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18600</v>
      </c>
      <c r="H2">
        <v>15000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17</v>
      </c>
      <c r="G3">
        <v>12350</v>
      </c>
      <c r="H3">
        <v>12000</v>
      </c>
    </row>
    <row r="4" spans="1:8" x14ac:dyDescent="0.3">
      <c r="A4" t="s">
        <v>8</v>
      </c>
      <c r="B4" t="s">
        <v>9</v>
      </c>
      <c r="C4" t="s">
        <v>18</v>
      </c>
      <c r="D4" t="s">
        <v>19</v>
      </c>
      <c r="E4" t="s">
        <v>20</v>
      </c>
      <c r="F4" t="s">
        <v>13</v>
      </c>
      <c r="G4">
        <v>4500</v>
      </c>
      <c r="H4">
        <v>8000</v>
      </c>
    </row>
    <row r="5" spans="1:8" x14ac:dyDescent="0.3">
      <c r="A5" t="s">
        <v>8</v>
      </c>
      <c r="B5" t="s">
        <v>9</v>
      </c>
      <c r="C5" t="s">
        <v>21</v>
      </c>
      <c r="D5" t="s">
        <v>11</v>
      </c>
      <c r="E5" t="s">
        <v>22</v>
      </c>
      <c r="F5" t="s">
        <v>23</v>
      </c>
      <c r="G5">
        <v>3600</v>
      </c>
      <c r="H5">
        <v>4000</v>
      </c>
    </row>
    <row r="6" spans="1:8" x14ac:dyDescent="0.3">
      <c r="A6" t="s">
        <v>8</v>
      </c>
      <c r="B6" t="s">
        <v>9</v>
      </c>
      <c r="C6" t="s">
        <v>24</v>
      </c>
      <c r="D6" t="s">
        <v>25</v>
      </c>
      <c r="E6" t="s">
        <v>12</v>
      </c>
      <c r="F6" t="s">
        <v>13</v>
      </c>
      <c r="G6">
        <v>9600</v>
      </c>
      <c r="H6">
        <v>15000</v>
      </c>
    </row>
    <row r="7" spans="1:8" x14ac:dyDescent="0.3">
      <c r="A7" t="s">
        <v>26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>
        <v>21600</v>
      </c>
      <c r="H7">
        <v>15000</v>
      </c>
    </row>
    <row r="8" spans="1:8" x14ac:dyDescent="0.3">
      <c r="A8" t="s">
        <v>26</v>
      </c>
      <c r="B8" t="s">
        <v>9</v>
      </c>
      <c r="C8" t="s">
        <v>14</v>
      </c>
      <c r="D8" t="s">
        <v>15</v>
      </c>
      <c r="E8" t="s">
        <v>16</v>
      </c>
      <c r="F8" t="s">
        <v>17</v>
      </c>
      <c r="G8">
        <v>15600</v>
      </c>
      <c r="H8">
        <v>12000</v>
      </c>
    </row>
    <row r="9" spans="1:8" x14ac:dyDescent="0.3">
      <c r="A9" t="s">
        <v>26</v>
      </c>
      <c r="B9" t="s">
        <v>9</v>
      </c>
      <c r="C9" t="s">
        <v>18</v>
      </c>
      <c r="D9" t="s">
        <v>19</v>
      </c>
      <c r="E9" t="s">
        <v>20</v>
      </c>
      <c r="F9" t="s">
        <v>13</v>
      </c>
      <c r="G9">
        <v>8100</v>
      </c>
      <c r="H9">
        <v>8000</v>
      </c>
    </row>
    <row r="10" spans="1:8" x14ac:dyDescent="0.3">
      <c r="A10" t="s">
        <v>26</v>
      </c>
      <c r="B10" t="s">
        <v>9</v>
      </c>
      <c r="C10" t="s">
        <v>21</v>
      </c>
      <c r="D10" t="s">
        <v>11</v>
      </c>
      <c r="E10" t="s">
        <v>22</v>
      </c>
      <c r="F10" t="s">
        <v>23</v>
      </c>
      <c r="G10">
        <v>4800</v>
      </c>
      <c r="H10">
        <v>4000</v>
      </c>
    </row>
    <row r="11" spans="1:8" x14ac:dyDescent="0.3">
      <c r="A11" t="s">
        <v>26</v>
      </c>
      <c r="B11" t="s">
        <v>9</v>
      </c>
      <c r="C11" t="s">
        <v>24</v>
      </c>
      <c r="D11" t="s">
        <v>25</v>
      </c>
      <c r="E11" t="s">
        <v>12</v>
      </c>
      <c r="F11" t="s">
        <v>13</v>
      </c>
      <c r="G11">
        <v>14400</v>
      </c>
      <c r="H11">
        <v>15000</v>
      </c>
    </row>
    <row r="12" spans="1:8" x14ac:dyDescent="0.3">
      <c r="A12" t="s">
        <v>27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>
        <v>26400</v>
      </c>
      <c r="H12">
        <v>15000</v>
      </c>
    </row>
    <row r="13" spans="1:8" x14ac:dyDescent="0.3">
      <c r="A13" t="s">
        <v>27</v>
      </c>
      <c r="B13" t="s">
        <v>9</v>
      </c>
      <c r="C13" t="s">
        <v>14</v>
      </c>
      <c r="D13" t="s">
        <v>15</v>
      </c>
      <c r="E13" t="s">
        <v>16</v>
      </c>
      <c r="F13" t="s">
        <v>17</v>
      </c>
      <c r="G13">
        <v>11050</v>
      </c>
      <c r="H13">
        <v>12000</v>
      </c>
    </row>
    <row r="14" spans="1:8" x14ac:dyDescent="0.3">
      <c r="A14" t="s">
        <v>27</v>
      </c>
      <c r="B14" t="s">
        <v>9</v>
      </c>
      <c r="C14" t="s">
        <v>18</v>
      </c>
      <c r="D14" t="s">
        <v>19</v>
      </c>
      <c r="E14" t="s">
        <v>20</v>
      </c>
      <c r="F14" t="s">
        <v>13</v>
      </c>
      <c r="G14">
        <v>7650</v>
      </c>
      <c r="H14">
        <v>8000</v>
      </c>
    </row>
    <row r="15" spans="1:8" x14ac:dyDescent="0.3">
      <c r="A15" t="s">
        <v>27</v>
      </c>
      <c r="B15" t="s">
        <v>9</v>
      </c>
      <c r="C15" t="s">
        <v>21</v>
      </c>
      <c r="D15" t="s">
        <v>11</v>
      </c>
      <c r="E15" t="s">
        <v>22</v>
      </c>
      <c r="F15" t="s">
        <v>23</v>
      </c>
      <c r="G15">
        <v>5160</v>
      </c>
      <c r="H15">
        <v>4000</v>
      </c>
    </row>
    <row r="16" spans="1:8" x14ac:dyDescent="0.3">
      <c r="A16" t="s">
        <v>27</v>
      </c>
      <c r="B16" t="s">
        <v>9</v>
      </c>
      <c r="C16" t="s">
        <v>24</v>
      </c>
      <c r="D16" t="s">
        <v>25</v>
      </c>
      <c r="E16" t="s">
        <v>12</v>
      </c>
      <c r="F16" t="s">
        <v>13</v>
      </c>
      <c r="G16">
        <v>19200</v>
      </c>
      <c r="H16">
        <v>15000</v>
      </c>
    </row>
    <row r="17" spans="1:8" x14ac:dyDescent="0.3">
      <c r="A17" t="s">
        <v>28</v>
      </c>
      <c r="B17" t="s">
        <v>29</v>
      </c>
      <c r="C17" t="s">
        <v>10</v>
      </c>
      <c r="D17" t="s">
        <v>11</v>
      </c>
      <c r="E17" t="s">
        <v>16</v>
      </c>
      <c r="F17" t="s">
        <v>17</v>
      </c>
      <c r="G17">
        <v>14300</v>
      </c>
      <c r="H17">
        <v>15000</v>
      </c>
    </row>
    <row r="18" spans="1:8" x14ac:dyDescent="0.3">
      <c r="A18" t="s">
        <v>28</v>
      </c>
      <c r="B18" t="s">
        <v>29</v>
      </c>
      <c r="C18" t="s">
        <v>14</v>
      </c>
      <c r="D18" t="s">
        <v>15</v>
      </c>
      <c r="E18" t="s">
        <v>12</v>
      </c>
      <c r="F18" t="s">
        <v>13</v>
      </c>
      <c r="G18">
        <v>24000</v>
      </c>
      <c r="H18">
        <v>20000</v>
      </c>
    </row>
    <row r="19" spans="1:8" x14ac:dyDescent="0.3">
      <c r="A19" t="s">
        <v>28</v>
      </c>
      <c r="B19" t="s">
        <v>29</v>
      </c>
      <c r="C19" t="s">
        <v>18</v>
      </c>
      <c r="D19" t="s">
        <v>19</v>
      </c>
      <c r="E19" t="s">
        <v>30</v>
      </c>
      <c r="F19" t="s">
        <v>31</v>
      </c>
      <c r="G19">
        <v>5040</v>
      </c>
      <c r="H19">
        <v>5000</v>
      </c>
    </row>
    <row r="20" spans="1:8" x14ac:dyDescent="0.3">
      <c r="A20" t="s">
        <v>28</v>
      </c>
      <c r="B20" t="s">
        <v>29</v>
      </c>
      <c r="C20" t="s">
        <v>21</v>
      </c>
      <c r="D20" t="s">
        <v>11</v>
      </c>
      <c r="E20" t="s">
        <v>20</v>
      </c>
      <c r="F20" t="s">
        <v>13</v>
      </c>
      <c r="G20">
        <v>6750</v>
      </c>
      <c r="H20">
        <v>6000</v>
      </c>
    </row>
    <row r="21" spans="1:8" x14ac:dyDescent="0.3">
      <c r="A21" t="s">
        <v>28</v>
      </c>
      <c r="B21" t="s">
        <v>29</v>
      </c>
      <c r="C21" t="s">
        <v>24</v>
      </c>
      <c r="D21" t="s">
        <v>25</v>
      </c>
      <c r="E21" t="s">
        <v>16</v>
      </c>
      <c r="F21" t="s">
        <v>17</v>
      </c>
      <c r="G21">
        <v>10400</v>
      </c>
      <c r="H21">
        <v>12000</v>
      </c>
    </row>
    <row r="22" spans="1:8" x14ac:dyDescent="0.3">
      <c r="A22" t="s">
        <v>32</v>
      </c>
      <c r="B22" t="s">
        <v>29</v>
      </c>
      <c r="C22" t="s">
        <v>10</v>
      </c>
      <c r="D22" t="s">
        <v>11</v>
      </c>
      <c r="E22" t="s">
        <v>12</v>
      </c>
      <c r="F22" t="s">
        <v>13</v>
      </c>
      <c r="G22">
        <v>31200</v>
      </c>
      <c r="H22">
        <v>15000</v>
      </c>
    </row>
    <row r="23" spans="1:8" x14ac:dyDescent="0.3">
      <c r="A23" t="s">
        <v>32</v>
      </c>
      <c r="B23" t="s">
        <v>29</v>
      </c>
      <c r="C23" t="s">
        <v>14</v>
      </c>
      <c r="D23" t="s">
        <v>15</v>
      </c>
      <c r="E23" t="s">
        <v>16</v>
      </c>
      <c r="F23" t="s">
        <v>17</v>
      </c>
      <c r="G23">
        <v>21450</v>
      </c>
      <c r="H23">
        <v>12000</v>
      </c>
    </row>
    <row r="24" spans="1:8" x14ac:dyDescent="0.3">
      <c r="A24" t="s">
        <v>32</v>
      </c>
      <c r="B24" t="s">
        <v>29</v>
      </c>
      <c r="C24" t="s">
        <v>18</v>
      </c>
      <c r="D24" t="s">
        <v>19</v>
      </c>
      <c r="E24" t="s">
        <v>20</v>
      </c>
      <c r="F24" t="s">
        <v>13</v>
      </c>
      <c r="G24">
        <v>9450</v>
      </c>
      <c r="H24">
        <v>8000</v>
      </c>
    </row>
    <row r="25" spans="1:8" x14ac:dyDescent="0.3">
      <c r="A25" t="s">
        <v>32</v>
      </c>
      <c r="B25" t="s">
        <v>29</v>
      </c>
      <c r="C25" t="s">
        <v>21</v>
      </c>
      <c r="D25" t="s">
        <v>11</v>
      </c>
      <c r="E25" t="s">
        <v>22</v>
      </c>
      <c r="F25" t="s">
        <v>23</v>
      </c>
      <c r="G25">
        <v>6240</v>
      </c>
      <c r="H25">
        <v>4000</v>
      </c>
    </row>
    <row r="26" spans="1:8" x14ac:dyDescent="0.3">
      <c r="A26" t="s">
        <v>32</v>
      </c>
      <c r="B26" t="s">
        <v>29</v>
      </c>
      <c r="C26" t="s">
        <v>24</v>
      </c>
      <c r="D26" t="s">
        <v>25</v>
      </c>
      <c r="E26" t="s">
        <v>12</v>
      </c>
      <c r="F26" t="s">
        <v>13</v>
      </c>
      <c r="G26">
        <v>16800</v>
      </c>
      <c r="H26">
        <v>15000</v>
      </c>
    </row>
    <row r="27" spans="1:8" x14ac:dyDescent="0.3">
      <c r="A27" t="s">
        <v>33</v>
      </c>
      <c r="B27" t="s">
        <v>29</v>
      </c>
      <c r="C27" t="s">
        <v>10</v>
      </c>
      <c r="D27" t="s">
        <v>11</v>
      </c>
      <c r="E27" t="s">
        <v>30</v>
      </c>
      <c r="F27" t="s">
        <v>31</v>
      </c>
      <c r="G27">
        <v>11200</v>
      </c>
      <c r="H27">
        <v>10000</v>
      </c>
    </row>
    <row r="28" spans="1:8" x14ac:dyDescent="0.3">
      <c r="A28" t="s">
        <v>33</v>
      </c>
      <c r="B28" t="s">
        <v>29</v>
      </c>
      <c r="C28" t="s">
        <v>14</v>
      </c>
      <c r="D28" t="s">
        <v>15</v>
      </c>
      <c r="E28" t="s">
        <v>12</v>
      </c>
      <c r="F28" t="s">
        <v>13</v>
      </c>
      <c r="G28">
        <v>27600</v>
      </c>
      <c r="H28">
        <v>20000</v>
      </c>
    </row>
    <row r="29" spans="1:8" x14ac:dyDescent="0.3">
      <c r="A29" t="s">
        <v>33</v>
      </c>
      <c r="B29" t="s">
        <v>29</v>
      </c>
      <c r="C29" t="s">
        <v>18</v>
      </c>
      <c r="D29" t="s">
        <v>19</v>
      </c>
      <c r="E29" t="s">
        <v>16</v>
      </c>
      <c r="F29" t="s">
        <v>17</v>
      </c>
      <c r="G29">
        <v>13650</v>
      </c>
      <c r="H29">
        <v>12000</v>
      </c>
    </row>
    <row r="30" spans="1:8" x14ac:dyDescent="0.3">
      <c r="A30" t="s">
        <v>33</v>
      </c>
      <c r="B30" t="s">
        <v>29</v>
      </c>
      <c r="C30" t="s">
        <v>21</v>
      </c>
      <c r="D30" t="s">
        <v>11</v>
      </c>
      <c r="E30" t="s">
        <v>20</v>
      </c>
      <c r="F30" t="s">
        <v>13</v>
      </c>
      <c r="G30">
        <v>7200</v>
      </c>
      <c r="H30">
        <v>6000</v>
      </c>
    </row>
    <row r="31" spans="1:8" x14ac:dyDescent="0.3">
      <c r="A31" t="s">
        <v>33</v>
      </c>
      <c r="B31" t="s">
        <v>29</v>
      </c>
      <c r="C31" t="s">
        <v>24</v>
      </c>
      <c r="D31" t="s">
        <v>25</v>
      </c>
      <c r="E31" t="s">
        <v>22</v>
      </c>
      <c r="F31" t="s">
        <v>23</v>
      </c>
      <c r="G31">
        <v>4800</v>
      </c>
      <c r="H31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58E6-ABA1-4998-904A-82854C78C404}">
  <dimension ref="B2:F18"/>
  <sheetViews>
    <sheetView tabSelected="1" workbookViewId="0">
      <selection activeCell="F23" sqref="F23"/>
    </sheetView>
  </sheetViews>
  <sheetFormatPr baseColWidth="10" defaultRowHeight="14.4" x14ac:dyDescent="0.3"/>
  <cols>
    <col min="3" max="3" width="15.88671875" customWidth="1"/>
    <col min="4" max="4" width="17.77734375" customWidth="1"/>
    <col min="5" max="5" width="15.44140625" customWidth="1"/>
  </cols>
  <sheetData>
    <row r="2" spans="2:6" ht="17.399999999999999" x14ac:dyDescent="0.3">
      <c r="B2" s="4" t="s">
        <v>34</v>
      </c>
      <c r="C2" s="4"/>
      <c r="D2" s="4"/>
      <c r="E2" s="2"/>
      <c r="F2" s="2"/>
    </row>
    <row r="3" spans="2:6" ht="15.6" x14ac:dyDescent="0.3">
      <c r="B3" s="2"/>
      <c r="C3" s="2"/>
      <c r="D3" s="2"/>
      <c r="E3" s="2"/>
      <c r="F3" s="2"/>
    </row>
    <row r="4" spans="2:6" ht="18" x14ac:dyDescent="0.35">
      <c r="B4" s="1" t="s">
        <v>35</v>
      </c>
      <c r="C4" s="1"/>
      <c r="D4" s="1" t="s">
        <v>36</v>
      </c>
      <c r="E4" s="2"/>
      <c r="F4" s="2"/>
    </row>
    <row r="5" spans="2:6" ht="15.6" x14ac:dyDescent="0.3">
      <c r="B5" s="2"/>
      <c r="C5" s="8" t="s">
        <v>10</v>
      </c>
      <c r="D5" s="5"/>
      <c r="E5" s="8" t="s">
        <v>29</v>
      </c>
      <c r="F5" s="2"/>
    </row>
    <row r="6" spans="2:6" ht="15.6" x14ac:dyDescent="0.3">
      <c r="B6" s="2"/>
      <c r="C6" s="2"/>
      <c r="D6" s="2"/>
      <c r="E6" s="2"/>
      <c r="F6" s="2"/>
    </row>
    <row r="7" spans="2:6" ht="15.6" x14ac:dyDescent="0.3">
      <c r="B7" s="2"/>
      <c r="C7" s="2"/>
      <c r="D7" s="2"/>
      <c r="E7" s="2"/>
      <c r="F7" s="2"/>
    </row>
    <row r="8" spans="2:6" ht="17.399999999999999" x14ac:dyDescent="0.3"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</row>
    <row r="9" spans="2:6" ht="15.6" x14ac:dyDescent="0.3">
      <c r="B9" s="2" t="s">
        <v>8</v>
      </c>
      <c r="C9" s="2">
        <f>SUMIFS(Données!G2:G31,Données!C2:C31,$C$5,Données!A2:A31,Dashboard!B9,Données!B2:B31,$E$5)</f>
        <v>0</v>
      </c>
      <c r="D9" s="2">
        <f>SUMIFS(Données!H2:H31,Données!C2:C31,$C$5,Données!A2:A31,Dashboard!B9,Données!B2:B31,$E$5)</f>
        <v>0</v>
      </c>
      <c r="E9" s="3">
        <f>IF(D9&gt;0,C9/D9,0)</f>
        <v>0</v>
      </c>
      <c r="F9" s="2" t="str">
        <f>IF(C9&gt;=D9,"Atteint","En dessous")</f>
        <v>Atteint</v>
      </c>
    </row>
    <row r="10" spans="2:6" ht="15.6" x14ac:dyDescent="0.3">
      <c r="B10" s="2" t="s">
        <v>26</v>
      </c>
      <c r="C10" s="2">
        <f>SUMIFS(Données!G3:G32,Données!C3:C32,$C$5,Données!A3:A32,Dashboard!B10,Données!B3:B32,$E$5)</f>
        <v>0</v>
      </c>
      <c r="D10" s="2">
        <f>SUMIFS(Données!H3:H32,Données!C3:C32,$C$5,Données!A3:A32,Dashboard!B10,Données!B3:B32,$E$5)</f>
        <v>0</v>
      </c>
      <c r="E10" s="3">
        <f t="shared" ref="E10:E14" si="0">IF(D10&gt;0,C10/D10,0)</f>
        <v>0</v>
      </c>
      <c r="F10" s="2" t="str">
        <f t="shared" ref="F10:F14" si="1">IF(C10&gt;=D10,"Atteint","En dessous")</f>
        <v>Atteint</v>
      </c>
    </row>
    <row r="11" spans="2:6" ht="15.6" x14ac:dyDescent="0.3">
      <c r="B11" s="2" t="s">
        <v>27</v>
      </c>
      <c r="C11" s="2">
        <f>SUMIFS(Données!G4:G33,Données!C4:C33,$C$5,Données!A4:A33,Dashboard!B11,Données!B4:B33,$E$5)</f>
        <v>0</v>
      </c>
      <c r="D11" s="2">
        <f>SUMIFS(Données!H4:H33,Données!C4:C33,$C$5,Données!A4:A33,Dashboard!B11,Données!B4:B33,$E$5)</f>
        <v>0</v>
      </c>
      <c r="E11" s="3">
        <f t="shared" si="0"/>
        <v>0</v>
      </c>
      <c r="F11" s="2" t="str">
        <f t="shared" si="1"/>
        <v>Atteint</v>
      </c>
    </row>
    <row r="12" spans="2:6" ht="15.6" x14ac:dyDescent="0.3">
      <c r="B12" s="2" t="s">
        <v>28</v>
      </c>
      <c r="C12" s="2">
        <f>SUMIFS(Données!G4:G33,Données!C4:C33,$C$5,Données!A4:A33,Dashboard!B12,Données!B4:B33,$E$5)</f>
        <v>14300</v>
      </c>
      <c r="D12" s="2">
        <f>SUMIFS(Données!H5:H34,Données!C5:C34,$C$5,Données!A5:A34,Dashboard!B12,Données!B5:B34,$E$5)</f>
        <v>15000</v>
      </c>
      <c r="E12" s="3">
        <f t="shared" si="0"/>
        <v>0.95333333333333337</v>
      </c>
      <c r="F12" s="2" t="str">
        <f t="shared" si="1"/>
        <v>En dessous</v>
      </c>
    </row>
    <row r="13" spans="2:6" ht="15.6" x14ac:dyDescent="0.3">
      <c r="B13" s="2" t="s">
        <v>32</v>
      </c>
      <c r="C13" s="2">
        <f>SUMIFS(Données!G6:G35,Données!C6:C35,$C$5,Données!A6:A35,Dashboard!B13,Données!B6:B35,$E$5)</f>
        <v>31200</v>
      </c>
      <c r="D13" s="2">
        <f>SUMIFS(Données!H6:H35,Données!C6:C35,$C$5,Données!A6:A35,Dashboard!B13,Données!B6:B35,$E$5)</f>
        <v>15000</v>
      </c>
      <c r="E13" s="3">
        <f t="shared" si="0"/>
        <v>2.08</v>
      </c>
      <c r="F13" s="2" t="str">
        <f t="shared" si="1"/>
        <v>Atteint</v>
      </c>
    </row>
    <row r="14" spans="2:6" ht="15.6" x14ac:dyDescent="0.3">
      <c r="B14" s="2" t="s">
        <v>33</v>
      </c>
      <c r="C14" s="2">
        <f>SUMIFS(Données!G7:G36,Données!C7:C36,$C$5,Données!A7:A36,Dashboard!B14,Données!B7:B36,$E$5)</f>
        <v>11200</v>
      </c>
      <c r="D14" s="2">
        <f>SUMIFS(Données!H7:H36,Données!C7:C36,$C$5,Données!A7:A36,Dashboard!B14,Données!B7:B36,$E$5)</f>
        <v>10000</v>
      </c>
      <c r="E14" s="3">
        <f t="shared" si="0"/>
        <v>1.1200000000000001</v>
      </c>
      <c r="F14" s="2" t="str">
        <f t="shared" si="1"/>
        <v>Atteint</v>
      </c>
    </row>
    <row r="15" spans="2:6" ht="15.6" x14ac:dyDescent="0.3">
      <c r="B15" s="2"/>
      <c r="C15" s="2"/>
      <c r="D15" s="2"/>
      <c r="E15" s="2"/>
      <c r="F15" s="2"/>
    </row>
    <row r="16" spans="2:6" ht="15.6" x14ac:dyDescent="0.3">
      <c r="B16" s="2"/>
      <c r="C16" s="2"/>
      <c r="D16" s="2"/>
      <c r="E16" s="2"/>
      <c r="F16" s="2"/>
    </row>
    <row r="17" spans="2:6" ht="15.6" x14ac:dyDescent="0.3">
      <c r="B17" s="7" t="s">
        <v>42</v>
      </c>
      <c r="C17" s="7" t="s">
        <v>43</v>
      </c>
      <c r="D17" s="7" t="s">
        <v>44</v>
      </c>
      <c r="E17" s="7" t="s">
        <v>45</v>
      </c>
      <c r="F17" s="2"/>
    </row>
    <row r="18" spans="2:6" ht="15.6" x14ac:dyDescent="0.3">
      <c r="B18" s="2">
        <f>SUM(C9:C14)</f>
        <v>56700</v>
      </c>
      <c r="C18" s="2">
        <f>SUM(D9:D14)</f>
        <v>40000</v>
      </c>
      <c r="D18" s="3">
        <f>IF(C18&gt;0,B18/C18,0)</f>
        <v>1.4175</v>
      </c>
      <c r="E18" s="2">
        <f>COUNTIFS(Données!C2:C31,$C$5,Données!B2:B31,$E$5)</f>
        <v>3</v>
      </c>
      <c r="F18" s="2"/>
    </row>
  </sheetData>
  <sheetProtection sheet="1" objects="1" scenarios="1"/>
  <mergeCells count="1">
    <mergeCell ref="B2:D2"/>
  </mergeCells>
  <conditionalFormatting sqref="F9:F14">
    <cfRule type="colorScale" priority="3">
      <colorScale>
        <cfvo type="min"/>
        <cfvo type="max"/>
        <color rgb="FFFF0000"/>
        <color rgb="FF00B050"/>
      </colorScale>
    </cfRule>
    <cfRule type="containsText" dxfId="1" priority="2" operator="containsText" text="Atteint">
      <formula>NOT(ISERROR(SEARCH("Atteint",F9)))</formula>
    </cfRule>
  </conditionalFormatting>
  <conditionalFormatting sqref="F12">
    <cfRule type="containsText" dxfId="0" priority="1" operator="containsText" text="En dessous">
      <formula>NOT(ISERROR(SEARCH("En dessous",F12)))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7EB03F-75D9-48D7-917B-CCFAA5296BA8}">
          <x14:formula1>
            <xm:f>Données!$C$2:$C$6</xm:f>
          </x14:formula1>
          <xm:sqref>C5</xm:sqref>
        </x14:dataValidation>
        <x14:dataValidation type="list" allowBlank="1" showInputMessage="1" showErrorMessage="1" xr:uid="{C407B66B-36E0-4D56-80CD-153FD6A75111}">
          <x14:formula1>
            <xm:f>Données!$B$2:$B$31</xm:f>
          </x14:formula1>
          <xm:sqref>E5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Données</vt:lpstr>
      <vt:lpstr>Dashboard</vt:lpstr>
      <vt:lpstr>Données!ventes_dashboard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adjowa sika Flora NOUDOUKOU</dc:creator>
  <cp:lastModifiedBy>adjowa sika Flora NOUDOUKOU</cp:lastModifiedBy>
  <dcterms:created xsi:type="dcterms:W3CDTF">2026-06-11T21:28:11Z</dcterms:created>
  <dcterms:modified xsi:type="dcterms:W3CDTF">2026-06-11T22:20:54Z</dcterms:modified>
</cp:coreProperties>
</file>